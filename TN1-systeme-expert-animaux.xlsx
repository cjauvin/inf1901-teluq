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ts" sheetId="1" state="visible" r:id="rId1"/>
    <sheet name="Base de règ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808080"/>
      <sz val="10"/>
    </font>
    <font>
      <name val="Arial"/>
      <b val="1"/>
      <sz val="12"/>
    </font>
    <font>
      <name val="Arial"/>
      <color rgb="00808080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pivotButton="0" quotePrefix="0" xfId="0"/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wrapText="1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FFA9D08E"/>
          <bgColor rgb="FFA9D08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22" customWidth="1" min="3" max="3"/>
    <col hidden="1" width="13" customWidth="1" min="4" max="4"/>
  </cols>
  <sheetData>
    <row r="1">
      <c r="A1" s="1" t="inlineStr">
        <is>
          <t>Fait</t>
        </is>
      </c>
      <c r="B1" s="1" t="inlineStr">
        <is>
          <t>Vrai ?</t>
        </is>
      </c>
      <c r="C1" s="1" t="inlineStr">
        <is>
          <t>Catégorie</t>
        </is>
      </c>
      <c r="D1" s="1" t="inlineStr">
        <is>
          <t>Espèce établie</t>
        </is>
      </c>
    </row>
    <row r="2">
      <c r="A2" s="2" t="inlineStr">
        <is>
          <t>a du poil</t>
        </is>
      </c>
      <c r="B2" s="3" t="b">
        <v>0</v>
      </c>
      <c r="C2" s="4" t="inlineStr">
        <is>
          <t>observable</t>
        </is>
      </c>
      <c r="D2" s="4">
        <f>IF(AND($B2=TRUE,ISNUMBER(SEARCH("espèce",$C2))),$A2,"")</f>
        <v/>
      </c>
    </row>
    <row r="3">
      <c r="A3" s="2" t="inlineStr">
        <is>
          <t>allaite ses petits</t>
        </is>
      </c>
      <c r="B3" s="3" t="b">
        <v>0</v>
      </c>
      <c r="C3" s="4" t="inlineStr">
        <is>
          <t>observable</t>
        </is>
      </c>
      <c r="D3" s="4">
        <f>IF(AND($B3=TRUE,ISNUMBER(SEARCH("espèce",$C3))),$A3,"")</f>
        <v/>
      </c>
    </row>
    <row r="4">
      <c r="A4" s="2" t="inlineStr">
        <is>
          <t>a des plumes</t>
        </is>
      </c>
      <c r="B4" s="3" t="b">
        <v>0</v>
      </c>
      <c r="C4" s="4" t="inlineStr">
        <is>
          <t>observable</t>
        </is>
      </c>
      <c r="D4" s="4">
        <f>IF(AND($B4=TRUE,ISNUMBER(SEARCH("espèce",$C4))),$A4,"")</f>
        <v/>
      </c>
    </row>
    <row r="5">
      <c r="A5" s="2" t="inlineStr">
        <is>
          <t>pond des œufs</t>
        </is>
      </c>
      <c r="B5" s="3" t="b">
        <v>0</v>
      </c>
      <c r="C5" s="4" t="inlineStr">
        <is>
          <t>observable</t>
        </is>
      </c>
      <c r="D5" s="4">
        <f>IF(AND($B5=TRUE,ISNUMBER(SEARCH("espèce",$C5))),$A5,"")</f>
        <v/>
      </c>
    </row>
    <row r="6">
      <c r="A6" s="2" t="inlineStr">
        <is>
          <t>mange de la viande</t>
        </is>
      </c>
      <c r="B6" s="3" t="b">
        <v>0</v>
      </c>
      <c r="C6" s="4" t="inlineStr">
        <is>
          <t>observable</t>
        </is>
      </c>
      <c r="D6" s="4">
        <f>IF(AND($B6=TRUE,ISNUMBER(SEARCH("espèce",$C6))),$A6,"")</f>
        <v/>
      </c>
    </row>
    <row r="7">
      <c r="A7" s="2" t="inlineStr">
        <is>
          <t>a des dents pointues</t>
        </is>
      </c>
      <c r="B7" s="3" t="b">
        <v>0</v>
      </c>
      <c r="C7" s="4" t="inlineStr">
        <is>
          <t>observable</t>
        </is>
      </c>
      <c r="D7" s="4">
        <f>IF(AND($B7=TRUE,ISNUMBER(SEARCH("espèce",$C7))),$A7,"")</f>
        <v/>
      </c>
    </row>
    <row r="8">
      <c r="A8" s="2" t="inlineStr">
        <is>
          <t>a des griffes</t>
        </is>
      </c>
      <c r="B8" s="3" t="b">
        <v>0</v>
      </c>
      <c r="C8" s="4" t="inlineStr">
        <is>
          <t>observable</t>
        </is>
      </c>
      <c r="D8" s="4">
        <f>IF(AND($B8=TRUE,ISNUMBER(SEARCH("espèce",$C8))),$A8,"")</f>
        <v/>
      </c>
    </row>
    <row r="9">
      <c r="A9" s="2" t="inlineStr">
        <is>
          <t>a des sabots</t>
        </is>
      </c>
      <c r="B9" s="3" t="b">
        <v>0</v>
      </c>
      <c r="C9" s="4" t="inlineStr">
        <is>
          <t>observable</t>
        </is>
      </c>
      <c r="D9" s="4">
        <f>IF(AND($B9=TRUE,ISNUMBER(SEARCH("espèce",$C9))),$A9,"")</f>
        <v/>
      </c>
    </row>
    <row r="10">
      <c r="A10" s="2" t="inlineStr">
        <is>
          <t>rumine</t>
        </is>
      </c>
      <c r="B10" s="3" t="b">
        <v>0</v>
      </c>
      <c r="C10" s="4" t="inlineStr">
        <is>
          <t>observable</t>
        </is>
      </c>
      <c r="D10" s="4">
        <f>IF(AND($B10=TRUE,ISNUMBER(SEARCH("espèce",$C10))),$A10,"")</f>
        <v/>
      </c>
    </row>
    <row r="11">
      <c r="A11" s="2" t="inlineStr">
        <is>
          <t>robe fauve</t>
        </is>
      </c>
      <c r="B11" s="3" t="b">
        <v>0</v>
      </c>
      <c r="C11" s="4" t="inlineStr">
        <is>
          <t>observable</t>
        </is>
      </c>
      <c r="D11" s="4">
        <f>IF(AND($B11=TRUE,ISNUMBER(SEARCH("espèce",$C11))),$A11,"")</f>
        <v/>
      </c>
    </row>
    <row r="12">
      <c r="A12" s="2" t="inlineStr">
        <is>
          <t>taches sombres</t>
        </is>
      </c>
      <c r="B12" s="3" t="b">
        <v>0</v>
      </c>
      <c r="C12" s="4" t="inlineStr">
        <is>
          <t>observable</t>
        </is>
      </c>
      <c r="D12" s="4">
        <f>IF(AND($B12=TRUE,ISNUMBER(SEARCH("espèce",$C12))),$A12,"")</f>
        <v/>
      </c>
    </row>
    <row r="13">
      <c r="A13" s="2" t="inlineStr">
        <is>
          <t>rayures noires</t>
        </is>
      </c>
      <c r="B13" s="3" t="b">
        <v>0</v>
      </c>
      <c r="C13" s="4" t="inlineStr">
        <is>
          <t>observable</t>
        </is>
      </c>
      <c r="D13" s="4">
        <f>IF(AND($B13=TRUE,ISNUMBER(SEARCH("espèce",$C13))),$A13,"")</f>
        <v/>
      </c>
    </row>
    <row r="14">
      <c r="A14" s="2" t="inlineStr">
        <is>
          <t>long cou</t>
        </is>
      </c>
      <c r="B14" s="3" t="b">
        <v>0</v>
      </c>
      <c r="C14" s="4" t="inlineStr">
        <is>
          <t>observable</t>
        </is>
      </c>
      <c r="D14" s="4">
        <f>IF(AND($B14=TRUE,ISNUMBER(SEARCH("espèce",$C14))),$A14,"")</f>
        <v/>
      </c>
    </row>
    <row r="15">
      <c r="A15" s="2" t="inlineStr">
        <is>
          <t>incapable de voler</t>
        </is>
      </c>
      <c r="B15" s="3" t="b">
        <v>0</v>
      </c>
      <c r="C15" s="4" t="inlineStr">
        <is>
          <t>observable</t>
        </is>
      </c>
      <c r="D15" s="4">
        <f>IF(AND($B15=TRUE,ISNUMBER(SEARCH("espèce",$C15))),$A15,"")</f>
        <v/>
      </c>
    </row>
    <row r="16">
      <c r="A16" s="2" t="inlineStr">
        <is>
          <t>nage</t>
        </is>
      </c>
      <c r="B16" s="3" t="b">
        <v>0</v>
      </c>
      <c r="C16" s="4" t="inlineStr">
        <is>
          <t>observable</t>
        </is>
      </c>
      <c r="D16" s="4">
        <f>IF(AND($B16=TRUE,ISNUMBER(SEARCH("espèce",$C16))),$A16,"")</f>
        <v/>
      </c>
    </row>
    <row r="17">
      <c r="A17" s="2" t="inlineStr">
        <is>
          <t>plumage noir et blanc</t>
        </is>
      </c>
      <c r="B17" s="3" t="b">
        <v>0</v>
      </c>
      <c r="C17" s="4" t="inlineStr">
        <is>
          <t>observable</t>
        </is>
      </c>
      <c r="D17" s="4">
        <f>IF(AND($B17=TRUE,ISNUMBER(SEARCH("espèce",$C17))),$A17,"")</f>
        <v/>
      </c>
    </row>
    <row r="18">
      <c r="A18" s="5" t="inlineStr">
        <is>
          <t>mammifère</t>
        </is>
      </c>
      <c r="B18" s="3" t="b">
        <v>0</v>
      </c>
      <c r="C18" s="4" t="inlineStr">
        <is>
          <t>catégorie (déduite)</t>
        </is>
      </c>
      <c r="D18" s="4">
        <f>IF(AND($B18=TRUE,ISNUMBER(SEARCH("espèce",$C18))),$A18,"")</f>
        <v/>
      </c>
    </row>
    <row r="19">
      <c r="A19" s="5" t="inlineStr">
        <is>
          <t>oiseau</t>
        </is>
      </c>
      <c r="B19" s="3" t="b">
        <v>0</v>
      </c>
      <c r="C19" s="4" t="inlineStr">
        <is>
          <t>catégorie (déduite)</t>
        </is>
      </c>
      <c r="D19" s="4">
        <f>IF(AND($B19=TRUE,ISNUMBER(SEARCH("espèce",$C19))),$A19,"")</f>
        <v/>
      </c>
    </row>
    <row r="20">
      <c r="A20" s="5" t="inlineStr">
        <is>
          <t>carnivore</t>
        </is>
      </c>
      <c r="B20" s="3" t="b">
        <v>0</v>
      </c>
      <c r="C20" s="4" t="inlineStr">
        <is>
          <t>catégorie (déduite)</t>
        </is>
      </c>
      <c r="D20" s="4">
        <f>IF(AND($B20=TRUE,ISNUMBER(SEARCH("espèce",$C20))),$A20,"")</f>
        <v/>
      </c>
    </row>
    <row r="21">
      <c r="A21" s="6" t="inlineStr">
        <is>
          <t>guépard</t>
        </is>
      </c>
      <c r="B21" s="3" t="b">
        <v>0</v>
      </c>
      <c r="C21" s="4" t="inlineStr">
        <is>
          <t>espèce (conclusion)</t>
        </is>
      </c>
      <c r="D21" s="4">
        <f>IF(AND($B21=TRUE,ISNUMBER(SEARCH("espèce",$C21))),$A21,"")</f>
        <v/>
      </c>
    </row>
    <row r="22">
      <c r="A22" s="6" t="inlineStr">
        <is>
          <t>tigre</t>
        </is>
      </c>
      <c r="B22" s="3" t="b">
        <v>0</v>
      </c>
      <c r="C22" s="4" t="inlineStr">
        <is>
          <t>espèce (conclusion)</t>
        </is>
      </c>
      <c r="D22" s="4">
        <f>IF(AND($B22=TRUE,ISNUMBER(SEARCH("espèce",$C22))),$A22,"")</f>
        <v/>
      </c>
    </row>
    <row r="23">
      <c r="A23" s="6" t="inlineStr">
        <is>
          <t>girafe</t>
        </is>
      </c>
      <c r="B23" s="3" t="b">
        <v>0</v>
      </c>
      <c r="C23" s="4" t="inlineStr">
        <is>
          <t>espèce (conclusion)</t>
        </is>
      </c>
      <c r="D23" s="4">
        <f>IF(AND($B23=TRUE,ISNUMBER(SEARCH("espèce",$C23))),$A23,"")</f>
        <v/>
      </c>
    </row>
    <row r="24">
      <c r="A24" s="6" t="inlineStr">
        <is>
          <t>zèbre</t>
        </is>
      </c>
      <c r="B24" s="3" t="b">
        <v>0</v>
      </c>
      <c r="C24" s="4" t="inlineStr">
        <is>
          <t>espèce (conclusion)</t>
        </is>
      </c>
      <c r="D24" s="4">
        <f>IF(AND($B24=TRUE,ISNUMBER(SEARCH("espèce",$C24))),$A24,"")</f>
        <v/>
      </c>
    </row>
    <row r="25">
      <c r="A25" s="6" t="inlineStr">
        <is>
          <t>autruche</t>
        </is>
      </c>
      <c r="B25" s="3" t="b">
        <v>0</v>
      </c>
      <c r="C25" s="4" t="inlineStr">
        <is>
          <t>espèce (conclusion)</t>
        </is>
      </c>
      <c r="D25" s="4">
        <f>IF(AND($B25=TRUE,ISNUMBER(SEARCH("espèce",$C25))),$A25,"")</f>
        <v/>
      </c>
    </row>
    <row r="26">
      <c r="A26" s="6" t="inlineStr">
        <is>
          <t>manchot</t>
        </is>
      </c>
      <c r="B26" s="3" t="b">
        <v>0</v>
      </c>
      <c r="C26" s="4" t="inlineStr">
        <is>
          <t>espèce (conclusion)</t>
        </is>
      </c>
      <c r="D26" s="4">
        <f>IF(AND($B26=TRUE,ISNUMBER(SEARCH("espèce",$C26))),$A26,"")</f>
        <v/>
      </c>
    </row>
    <row r="27">
      <c r="A27" s="7" t="n"/>
      <c r="B27" s="3" t="b">
        <v>0</v>
      </c>
      <c r="C27" s="7" t="n"/>
      <c r="D27" s="4">
        <f>IF(AND($B27=TRUE,ISNUMBER(SEARCH("espèce",$C27))),$A27,"")</f>
        <v/>
      </c>
    </row>
    <row r="28">
      <c r="A28" s="7" t="n"/>
      <c r="B28" s="3" t="b">
        <v>0</v>
      </c>
      <c r="C28" s="7" t="n"/>
      <c r="D28" s="4">
        <f>IF(AND($B28=TRUE,ISNUMBER(SEARCH("espèce",$C28))),$A28,"")</f>
        <v/>
      </c>
    </row>
    <row r="29">
      <c r="A29" s="7" t="n"/>
      <c r="B29" s="3" t="b">
        <v>0</v>
      </c>
      <c r="C29" s="7" t="n"/>
      <c r="D29" s="4">
        <f>IF(AND($B29=TRUE,ISNUMBER(SEARCH("espèce",$C29))),$A29,"")</f>
        <v/>
      </c>
    </row>
    <row r="30">
      <c r="A30" s="7" t="n"/>
      <c r="B30" s="3" t="b">
        <v>0</v>
      </c>
      <c r="C30" s="7" t="n"/>
      <c r="D30" s="4">
        <f>IF(AND($B30=TRUE,ISNUMBER(SEARCH("espèce",$C30))),$A30,"")</f>
        <v/>
      </c>
    </row>
    <row r="31">
      <c r="A31" s="7" t="n"/>
      <c r="B31" s="3" t="b">
        <v>0</v>
      </c>
      <c r="C31" s="7" t="n"/>
      <c r="D31" s="4">
        <f>IF(AND($B31=TRUE,ISNUMBER(SEARCH("espèce",$C31))),$A31,"")</f>
        <v/>
      </c>
    </row>
    <row r="32">
      <c r="A32" s="7" t="n"/>
      <c r="B32" s="3" t="b">
        <v>0</v>
      </c>
      <c r="C32" s="7" t="n"/>
      <c r="D32" s="4">
        <f>IF(AND($B32=TRUE,ISNUMBER(SEARCH("espèce",$C32))),$A32,"")</f>
        <v/>
      </c>
    </row>
    <row r="33">
      <c r="A33" s="7" t="n"/>
      <c r="B33" s="3" t="b">
        <v>0</v>
      </c>
      <c r="C33" s="7" t="n"/>
      <c r="D33" s="4">
        <f>IF(AND($B33=TRUE,ISNUMBER(SEARCH("espèce",$C33))),$A33,"")</f>
        <v/>
      </c>
    </row>
    <row r="34">
      <c r="A34" s="7" t="n"/>
      <c r="B34" s="3" t="b">
        <v>0</v>
      </c>
      <c r="C34" s="7" t="n"/>
      <c r="D34" s="4">
        <f>IF(AND($B34=TRUE,ISNUMBER(SEARCH("espèce",$C34))),$A34,"")</f>
        <v/>
      </c>
    </row>
    <row r="35">
      <c r="A35" s="7" t="n"/>
      <c r="B35" s="3" t="b">
        <v>0</v>
      </c>
      <c r="C35" s="7" t="n"/>
      <c r="D35" s="4">
        <f>IF(AND($B35=TRUE,ISNUMBER(SEARCH("espèce",$C35))),$A35,"")</f>
        <v/>
      </c>
    </row>
    <row r="36">
      <c r="A36" s="7" t="n"/>
      <c r="B36" s="3" t="b">
        <v>0</v>
      </c>
      <c r="C36" s="7" t="n"/>
      <c r="D36" s="4">
        <f>IF(AND($B36=TRUE,ISNUMBER(SEARCH("espèce",$C36))),$A36,"")</f>
        <v/>
      </c>
    </row>
    <row r="37">
      <c r="A37" s="7" t="n"/>
      <c r="B37" s="3" t="b">
        <v>0</v>
      </c>
      <c r="C37" s="7" t="n"/>
      <c r="D37" s="4">
        <f>IF(AND($B37=TRUE,ISNUMBER(SEARCH("espèce",$C37))),$A37,"")</f>
        <v/>
      </c>
    </row>
    <row r="38">
      <c r="A38" s="7" t="n"/>
      <c r="B38" s="3" t="b">
        <v>0</v>
      </c>
      <c r="C38" s="7" t="n"/>
      <c r="D38" s="4">
        <f>IF(AND($B38=TRUE,ISNUMBER(SEARCH("espèce",$C38))),$A38,"")</f>
        <v/>
      </c>
    </row>
    <row r="39">
      <c r="A39" s="7" t="n"/>
      <c r="B39" s="3" t="b">
        <v>0</v>
      </c>
      <c r="C39" s="7" t="n"/>
      <c r="D39" s="4">
        <f>IF(AND($B39=TRUE,ISNUMBER(SEARCH("espèce",$C39))),$A39,"")</f>
        <v/>
      </c>
    </row>
    <row r="40">
      <c r="A40" s="7" t="n"/>
      <c r="B40" s="3" t="b">
        <v>0</v>
      </c>
      <c r="C40" s="7" t="n"/>
      <c r="D40" s="4">
        <f>IF(AND($B40=TRUE,ISNUMBER(SEARCH("espèce",$C40))),$A40,"")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18" customWidth="1" min="4" max="4"/>
    <col width="22" customWidth="1" min="5" max="5"/>
    <col width="16" customWidth="1" min="6" max="6"/>
    <col width="13" customWidth="1" min="7" max="7"/>
    <col width="16" customWidth="1" min="8" max="8"/>
  </cols>
  <sheetData>
    <row r="1" ht="28" customHeight="1">
      <c r="A1" s="8">
        <f>IF(TEXTJOIN("",TRUE,Faits!$D$2:$D$40)&lt;&gt;"","🎯 Animal identifié : "&amp;TEXTJOIN("",TRUE,Faits!$D$2:$D$40),IF(SUMPRODUCT(--(G3:G22=TRUE))&gt;0,"▶ Continuez : déclenchez une règle surlignée en vert",IF(SUMPRODUCT(--(Faits!$B$2:$B$40=TRUE))&gt;0,"⛔ Bloqué : aucune espèce trouvée — il faut ajouter une règle (étape Étendre)","⏳ Cochez les caractéristiques du cas dans l’onglet Faits")))</f>
        <v/>
      </c>
    </row>
    <row r="2">
      <c r="A2" s="9" t="inlineStr">
        <is>
          <t>Règle</t>
        </is>
      </c>
      <c r="B2" s="9" t="inlineStr">
        <is>
          <t>Condition 1</t>
        </is>
      </c>
      <c r="C2" s="9" t="inlineStr">
        <is>
          <t>Condition 2</t>
        </is>
      </c>
      <c r="D2" s="9" t="inlineStr">
        <is>
          <t>Condition 3</t>
        </is>
      </c>
      <c r="E2" s="9" t="inlineStr">
        <is>
          <t>Condition 4</t>
        </is>
      </c>
      <c r="F2" s="9" t="inlineStr">
        <is>
          <t>→ Conclusion</t>
        </is>
      </c>
      <c r="G2" s="9" t="inlineStr">
        <is>
          <t>Activable ? (calculé)</t>
        </is>
      </c>
      <c r="H2" s="9" t="inlineStr">
        <is>
          <t>Déjà conclue ? (calculé)</t>
        </is>
      </c>
    </row>
    <row r="3">
      <c r="A3" s="2" t="inlineStr">
        <is>
          <t>R1</t>
        </is>
      </c>
      <c r="B3" s="2" t="inlineStr">
        <is>
          <t>a du poil</t>
        </is>
      </c>
      <c r="C3" s="2" t="n"/>
      <c r="D3" s="2" t="n"/>
      <c r="E3" s="2" t="n"/>
      <c r="F3" s="2" t="inlineStr">
        <is>
          <t>mammifère</t>
        </is>
      </c>
      <c r="G3" s="10">
        <f>IF($F3="","",AND(IF($B3="",TRUE,VLOOKUP($B3,Faits!$A:$B,2,FALSE)),IF($C3="",TRUE,VLOOKUP($C3,Faits!$A:$B,2,FALSE)),IF($D3="",TRUE,VLOOKUP($D3,Faits!$A:$B,2,FALSE)),IF($E3="",TRUE,VLOOKUP($E3,Faits!$A:$B,2,FALSE)),NOT(VLOOKUP($F3,Faits!$A:$B,2,FALSE))))</f>
        <v/>
      </c>
      <c r="H3" s="10">
        <f>IF($F3="","",VLOOKUP($F3,Faits!$A:$B,2,FALSE))</f>
        <v/>
      </c>
    </row>
    <row r="4">
      <c r="A4" s="2" t="inlineStr">
        <is>
          <t>R2</t>
        </is>
      </c>
      <c r="B4" s="2" t="inlineStr">
        <is>
          <t>allaite ses petits</t>
        </is>
      </c>
      <c r="C4" s="2" t="n"/>
      <c r="D4" s="2" t="n"/>
      <c r="E4" s="2" t="n"/>
      <c r="F4" s="2" t="inlineStr">
        <is>
          <t>mammifère</t>
        </is>
      </c>
      <c r="G4" s="10">
        <f>IF($F4="","",AND(IF($B4="",TRUE,VLOOKUP($B4,Faits!$A:$B,2,FALSE)),IF($C4="",TRUE,VLOOKUP($C4,Faits!$A:$B,2,FALSE)),IF($D4="",TRUE,VLOOKUP($D4,Faits!$A:$B,2,FALSE)),IF($E4="",TRUE,VLOOKUP($E4,Faits!$A:$B,2,FALSE)),NOT(VLOOKUP($F4,Faits!$A:$B,2,FALSE))))</f>
        <v/>
      </c>
      <c r="H4" s="10">
        <f>IF($F4="","",VLOOKUP($F4,Faits!$A:$B,2,FALSE))</f>
        <v/>
      </c>
    </row>
    <row r="5">
      <c r="A5" s="2" t="inlineStr">
        <is>
          <t>R3</t>
        </is>
      </c>
      <c r="B5" s="2" t="inlineStr">
        <is>
          <t>a des plumes</t>
        </is>
      </c>
      <c r="C5" s="2" t="n"/>
      <c r="D5" s="2" t="n"/>
      <c r="E5" s="2" t="n"/>
      <c r="F5" s="2" t="inlineStr">
        <is>
          <t>oiseau</t>
        </is>
      </c>
      <c r="G5" s="10">
        <f>IF($F5="","",AND(IF($B5="",TRUE,VLOOKUP($B5,Faits!$A:$B,2,FALSE)),IF($C5="",TRUE,VLOOKUP($C5,Faits!$A:$B,2,FALSE)),IF($D5="",TRUE,VLOOKUP($D5,Faits!$A:$B,2,FALSE)),IF($E5="",TRUE,VLOOKUP($E5,Faits!$A:$B,2,FALSE)),NOT(VLOOKUP($F5,Faits!$A:$B,2,FALSE))))</f>
        <v/>
      </c>
      <c r="H5" s="10">
        <f>IF($F5="","",VLOOKUP($F5,Faits!$A:$B,2,FALSE))</f>
        <v/>
      </c>
    </row>
    <row r="6">
      <c r="A6" s="2" t="inlineStr">
        <is>
          <t>R4</t>
        </is>
      </c>
      <c r="B6" s="2" t="inlineStr">
        <is>
          <t>mammifère</t>
        </is>
      </c>
      <c r="C6" s="2" t="inlineStr">
        <is>
          <t>mange de la viande</t>
        </is>
      </c>
      <c r="D6" s="2" t="n"/>
      <c r="E6" s="2" t="n"/>
      <c r="F6" s="2" t="inlineStr">
        <is>
          <t>carnivore</t>
        </is>
      </c>
      <c r="G6" s="10">
        <f>IF($F6="","",AND(IF($B6="",TRUE,VLOOKUP($B6,Faits!$A:$B,2,FALSE)),IF($C6="",TRUE,VLOOKUP($C6,Faits!$A:$B,2,FALSE)),IF($D6="",TRUE,VLOOKUP($D6,Faits!$A:$B,2,FALSE)),IF($E6="",TRUE,VLOOKUP($E6,Faits!$A:$B,2,FALSE)),NOT(VLOOKUP($F6,Faits!$A:$B,2,FALSE))))</f>
        <v/>
      </c>
      <c r="H6" s="10">
        <f>IF($F6="","",VLOOKUP($F6,Faits!$A:$B,2,FALSE))</f>
        <v/>
      </c>
    </row>
    <row r="7">
      <c r="A7" s="2" t="inlineStr">
        <is>
          <t>R5</t>
        </is>
      </c>
      <c r="B7" s="2" t="inlineStr">
        <is>
          <t>mammifère</t>
        </is>
      </c>
      <c r="C7" s="2" t="inlineStr">
        <is>
          <t>a des dents pointues</t>
        </is>
      </c>
      <c r="D7" s="2" t="inlineStr">
        <is>
          <t>a des griffes</t>
        </is>
      </c>
      <c r="E7" s="2" t="n"/>
      <c r="F7" s="2" t="inlineStr">
        <is>
          <t>carnivore</t>
        </is>
      </c>
      <c r="G7" s="10">
        <f>IF($F7="","",AND(IF($B7="",TRUE,VLOOKUP($B7,Faits!$A:$B,2,FALSE)),IF($C7="",TRUE,VLOOKUP($C7,Faits!$A:$B,2,FALSE)),IF($D7="",TRUE,VLOOKUP($D7,Faits!$A:$B,2,FALSE)),IF($E7="",TRUE,VLOOKUP($E7,Faits!$A:$B,2,FALSE)),NOT(VLOOKUP($F7,Faits!$A:$B,2,FALSE))))</f>
        <v/>
      </c>
      <c r="H7" s="10">
        <f>IF($F7="","",VLOOKUP($F7,Faits!$A:$B,2,FALSE))</f>
        <v/>
      </c>
    </row>
    <row r="8">
      <c r="A8" s="2" t="inlineStr">
        <is>
          <t>R6</t>
        </is>
      </c>
      <c r="B8" s="2" t="inlineStr">
        <is>
          <t>carnivore</t>
        </is>
      </c>
      <c r="C8" s="2" t="inlineStr">
        <is>
          <t>robe fauve</t>
        </is>
      </c>
      <c r="D8" s="2" t="inlineStr">
        <is>
          <t>taches sombres</t>
        </is>
      </c>
      <c r="E8" s="2" t="n"/>
      <c r="F8" s="2" t="inlineStr">
        <is>
          <t>guépard</t>
        </is>
      </c>
      <c r="G8" s="10">
        <f>IF($F8="","",AND(IF($B8="",TRUE,VLOOKUP($B8,Faits!$A:$B,2,FALSE)),IF($C8="",TRUE,VLOOKUP($C8,Faits!$A:$B,2,FALSE)),IF($D8="",TRUE,VLOOKUP($D8,Faits!$A:$B,2,FALSE)),IF($E8="",TRUE,VLOOKUP($E8,Faits!$A:$B,2,FALSE)),NOT(VLOOKUP($F8,Faits!$A:$B,2,FALSE))))</f>
        <v/>
      </c>
      <c r="H8" s="10">
        <f>IF($F8="","",VLOOKUP($F8,Faits!$A:$B,2,FALSE))</f>
        <v/>
      </c>
    </row>
    <row r="9">
      <c r="A9" s="2" t="inlineStr">
        <is>
          <t>R7</t>
        </is>
      </c>
      <c r="B9" s="2" t="inlineStr">
        <is>
          <t>carnivore</t>
        </is>
      </c>
      <c r="C9" s="2" t="inlineStr">
        <is>
          <t>robe fauve</t>
        </is>
      </c>
      <c r="D9" s="2" t="inlineStr">
        <is>
          <t>rayures noires</t>
        </is>
      </c>
      <c r="E9" s="2" t="n"/>
      <c r="F9" s="2" t="inlineStr">
        <is>
          <t>tigre</t>
        </is>
      </c>
      <c r="G9" s="10">
        <f>IF($F9="","",AND(IF($B9="",TRUE,VLOOKUP($B9,Faits!$A:$B,2,FALSE)),IF($C9="",TRUE,VLOOKUP($C9,Faits!$A:$B,2,FALSE)),IF($D9="",TRUE,VLOOKUP($D9,Faits!$A:$B,2,FALSE)),IF($E9="",TRUE,VLOOKUP($E9,Faits!$A:$B,2,FALSE)),NOT(VLOOKUP($F9,Faits!$A:$B,2,FALSE))))</f>
        <v/>
      </c>
      <c r="H9" s="10">
        <f>IF($F9="","",VLOOKUP($F9,Faits!$A:$B,2,FALSE))</f>
        <v/>
      </c>
    </row>
    <row r="10">
      <c r="A10" s="2" t="inlineStr">
        <is>
          <t>R8</t>
        </is>
      </c>
      <c r="B10" s="2" t="inlineStr">
        <is>
          <t>mammifère</t>
        </is>
      </c>
      <c r="C10" s="2" t="inlineStr">
        <is>
          <t>rumine</t>
        </is>
      </c>
      <c r="D10" s="2" t="inlineStr">
        <is>
          <t>long cou</t>
        </is>
      </c>
      <c r="E10" s="2" t="inlineStr">
        <is>
          <t>taches sombres</t>
        </is>
      </c>
      <c r="F10" s="2" t="inlineStr">
        <is>
          <t>girafe</t>
        </is>
      </c>
      <c r="G10" s="10">
        <f>IF($F10="","",AND(IF($B10="",TRUE,VLOOKUP($B10,Faits!$A:$B,2,FALSE)),IF($C10="",TRUE,VLOOKUP($C10,Faits!$A:$B,2,FALSE)),IF($D10="",TRUE,VLOOKUP($D10,Faits!$A:$B,2,FALSE)),IF($E10="",TRUE,VLOOKUP($E10,Faits!$A:$B,2,FALSE)),NOT(VLOOKUP($F10,Faits!$A:$B,2,FALSE))))</f>
        <v/>
      </c>
      <c r="H10" s="10">
        <f>IF($F10="","",VLOOKUP($F10,Faits!$A:$B,2,FALSE))</f>
        <v/>
      </c>
    </row>
    <row r="11">
      <c r="A11" s="2" t="inlineStr">
        <is>
          <t>R9</t>
        </is>
      </c>
      <c r="B11" s="2" t="inlineStr">
        <is>
          <t>mammifère</t>
        </is>
      </c>
      <c r="C11" s="2" t="inlineStr">
        <is>
          <t>a des sabots</t>
        </is>
      </c>
      <c r="D11" s="2" t="inlineStr">
        <is>
          <t>rayures noires</t>
        </is>
      </c>
      <c r="E11" s="2" t="n"/>
      <c r="F11" s="2" t="inlineStr">
        <is>
          <t>zèbre</t>
        </is>
      </c>
      <c r="G11" s="10">
        <f>IF($F11="","",AND(IF($B11="",TRUE,VLOOKUP($B11,Faits!$A:$B,2,FALSE)),IF($C11="",TRUE,VLOOKUP($C11,Faits!$A:$B,2,FALSE)),IF($D11="",TRUE,VLOOKUP($D11,Faits!$A:$B,2,FALSE)),IF($E11="",TRUE,VLOOKUP($E11,Faits!$A:$B,2,FALSE)),NOT(VLOOKUP($F11,Faits!$A:$B,2,FALSE))))</f>
        <v/>
      </c>
      <c r="H11" s="10">
        <f>IF($F11="","",VLOOKUP($F11,Faits!$A:$B,2,FALSE))</f>
        <v/>
      </c>
    </row>
    <row r="12">
      <c r="A12" s="2" t="inlineStr">
        <is>
          <t>R10</t>
        </is>
      </c>
      <c r="B12" s="2" t="inlineStr">
        <is>
          <t>oiseau</t>
        </is>
      </c>
      <c r="C12" s="2" t="inlineStr">
        <is>
          <t>incapable de voler</t>
        </is>
      </c>
      <c r="D12" s="2" t="inlineStr">
        <is>
          <t>long cou</t>
        </is>
      </c>
      <c r="E12" s="2" t="n"/>
      <c r="F12" s="2" t="inlineStr">
        <is>
          <t>autruche</t>
        </is>
      </c>
      <c r="G12" s="10">
        <f>IF($F12="","",AND(IF($B12="",TRUE,VLOOKUP($B12,Faits!$A:$B,2,FALSE)),IF($C12="",TRUE,VLOOKUP($C12,Faits!$A:$B,2,FALSE)),IF($D12="",TRUE,VLOOKUP($D12,Faits!$A:$B,2,FALSE)),IF($E12="",TRUE,VLOOKUP($E12,Faits!$A:$B,2,FALSE)),NOT(VLOOKUP($F12,Faits!$A:$B,2,FALSE))))</f>
        <v/>
      </c>
      <c r="H12" s="10">
        <f>IF($F12="","",VLOOKUP($F12,Faits!$A:$B,2,FALSE))</f>
        <v/>
      </c>
    </row>
    <row r="13">
      <c r="A13" s="2" t="inlineStr">
        <is>
          <t>R11</t>
        </is>
      </c>
      <c r="B13" s="2" t="inlineStr">
        <is>
          <t>oiseau</t>
        </is>
      </c>
      <c r="C13" s="2" t="inlineStr">
        <is>
          <t>incapable de voler</t>
        </is>
      </c>
      <c r="D13" s="2" t="inlineStr">
        <is>
          <t>nage</t>
        </is>
      </c>
      <c r="E13" s="2" t="inlineStr">
        <is>
          <t>plumage noir et blanc</t>
        </is>
      </c>
      <c r="F13" s="2" t="inlineStr">
        <is>
          <t>manchot</t>
        </is>
      </c>
      <c r="G13" s="10">
        <f>IF($F13="","",AND(IF($B13="",TRUE,VLOOKUP($B13,Faits!$A:$B,2,FALSE)),IF($C13="",TRUE,VLOOKUP($C13,Faits!$A:$B,2,FALSE)),IF($D13="",TRUE,VLOOKUP($D13,Faits!$A:$B,2,FALSE)),IF($E13="",TRUE,VLOOKUP($E13,Faits!$A:$B,2,FALSE)),NOT(VLOOKUP($F13,Faits!$A:$B,2,FALSE))))</f>
        <v/>
      </c>
      <c r="H13" s="10">
        <f>IF($F13="","",VLOOKUP($F13,Faits!$A:$B,2,FALSE))</f>
        <v/>
      </c>
    </row>
    <row r="14">
      <c r="A14" s="2" t="n"/>
      <c r="B14" s="2" t="n"/>
      <c r="C14" s="2" t="n"/>
      <c r="D14" s="2" t="n"/>
      <c r="E14" s="2" t="n"/>
      <c r="F14" s="2" t="n"/>
      <c r="G14" s="10">
        <f>IF($F14="","",AND(IF($B14="",TRUE,VLOOKUP($B14,Faits!$A:$B,2,FALSE)),IF($C14="",TRUE,VLOOKUP($C14,Faits!$A:$B,2,FALSE)),IF($D14="",TRUE,VLOOKUP($D14,Faits!$A:$B,2,FALSE)),IF($E14="",TRUE,VLOOKUP($E14,Faits!$A:$B,2,FALSE)),NOT(VLOOKUP($F14,Faits!$A:$B,2,FALSE))))</f>
        <v/>
      </c>
      <c r="H14" s="10">
        <f>IF($F14="","",VLOOKUP($F14,Faits!$A:$B,2,FALSE))</f>
        <v/>
      </c>
    </row>
    <row r="15">
      <c r="A15" s="2" t="n"/>
      <c r="B15" s="2" t="n"/>
      <c r="C15" s="2" t="n"/>
      <c r="D15" s="2" t="n"/>
      <c r="E15" s="2" t="n"/>
      <c r="F15" s="2" t="n"/>
      <c r="G15" s="10">
        <f>IF($F15="","",AND(IF($B15="",TRUE,VLOOKUP($B15,Faits!$A:$B,2,FALSE)),IF($C15="",TRUE,VLOOKUP($C15,Faits!$A:$B,2,FALSE)),IF($D15="",TRUE,VLOOKUP($D15,Faits!$A:$B,2,FALSE)),IF($E15="",TRUE,VLOOKUP($E15,Faits!$A:$B,2,FALSE)),NOT(VLOOKUP($F15,Faits!$A:$B,2,FALSE))))</f>
        <v/>
      </c>
      <c r="H15" s="10">
        <f>IF($F15="","",VLOOKUP($F15,Faits!$A:$B,2,FALSE))</f>
        <v/>
      </c>
    </row>
    <row r="16">
      <c r="A16" s="2" t="n"/>
      <c r="B16" s="2" t="n"/>
      <c r="C16" s="2" t="n"/>
      <c r="D16" s="2" t="n"/>
      <c r="E16" s="2" t="n"/>
      <c r="F16" s="2" t="n"/>
      <c r="G16" s="10">
        <f>IF($F16="","",AND(IF($B16="",TRUE,VLOOKUP($B16,Faits!$A:$B,2,FALSE)),IF($C16="",TRUE,VLOOKUP($C16,Faits!$A:$B,2,FALSE)),IF($D16="",TRUE,VLOOKUP($D16,Faits!$A:$B,2,FALSE)),IF($E16="",TRUE,VLOOKUP($E16,Faits!$A:$B,2,FALSE)),NOT(VLOOKUP($F16,Faits!$A:$B,2,FALSE))))</f>
        <v/>
      </c>
      <c r="H16" s="10">
        <f>IF($F16="","",VLOOKUP($F16,Faits!$A:$B,2,FALSE))</f>
        <v/>
      </c>
    </row>
    <row r="17">
      <c r="A17" s="2" t="n"/>
      <c r="B17" s="2" t="n"/>
      <c r="C17" s="2" t="n"/>
      <c r="D17" s="2" t="n"/>
      <c r="E17" s="2" t="n"/>
      <c r="F17" s="2" t="n"/>
      <c r="G17" s="10">
        <f>IF($F17="","",AND(IF($B17="",TRUE,VLOOKUP($B17,Faits!$A:$B,2,FALSE)),IF($C17="",TRUE,VLOOKUP($C17,Faits!$A:$B,2,FALSE)),IF($D17="",TRUE,VLOOKUP($D17,Faits!$A:$B,2,FALSE)),IF($E17="",TRUE,VLOOKUP($E17,Faits!$A:$B,2,FALSE)),NOT(VLOOKUP($F17,Faits!$A:$B,2,FALSE))))</f>
        <v/>
      </c>
      <c r="H17" s="10">
        <f>IF($F17="","",VLOOKUP($F17,Faits!$A:$B,2,FALSE))</f>
        <v/>
      </c>
    </row>
    <row r="18">
      <c r="A18" s="2" t="n"/>
      <c r="B18" s="2" t="n"/>
      <c r="C18" s="2" t="n"/>
      <c r="D18" s="2" t="n"/>
      <c r="E18" s="2" t="n"/>
      <c r="F18" s="2" t="n"/>
      <c r="G18" s="10">
        <f>IF($F18="","",AND(IF($B18="",TRUE,VLOOKUP($B18,Faits!$A:$B,2,FALSE)),IF($C18="",TRUE,VLOOKUP($C18,Faits!$A:$B,2,FALSE)),IF($D18="",TRUE,VLOOKUP($D18,Faits!$A:$B,2,FALSE)),IF($E18="",TRUE,VLOOKUP($E18,Faits!$A:$B,2,FALSE)),NOT(VLOOKUP($F18,Faits!$A:$B,2,FALSE))))</f>
        <v/>
      </c>
      <c r="H18" s="10">
        <f>IF($F18="","",VLOOKUP($F18,Faits!$A:$B,2,FALSE))</f>
        <v/>
      </c>
    </row>
    <row r="19">
      <c r="A19" s="2" t="n"/>
      <c r="B19" s="2" t="n"/>
      <c r="C19" s="2" t="n"/>
      <c r="D19" s="2" t="n"/>
      <c r="E19" s="2" t="n"/>
      <c r="F19" s="2" t="n"/>
      <c r="G19" s="10">
        <f>IF($F19="","",AND(IF($B19="",TRUE,VLOOKUP($B19,Faits!$A:$B,2,FALSE)),IF($C19="",TRUE,VLOOKUP($C19,Faits!$A:$B,2,FALSE)),IF($D19="",TRUE,VLOOKUP($D19,Faits!$A:$B,2,FALSE)),IF($E19="",TRUE,VLOOKUP($E19,Faits!$A:$B,2,FALSE)),NOT(VLOOKUP($F19,Faits!$A:$B,2,FALSE))))</f>
        <v/>
      </c>
      <c r="H19" s="10">
        <f>IF($F19="","",VLOOKUP($F19,Faits!$A:$B,2,FALSE))</f>
        <v/>
      </c>
    </row>
    <row r="20">
      <c r="A20" s="2" t="n"/>
      <c r="B20" s="2" t="n"/>
      <c r="C20" s="2" t="n"/>
      <c r="D20" s="2" t="n"/>
      <c r="E20" s="2" t="n"/>
      <c r="F20" s="2" t="n"/>
      <c r="G20" s="10">
        <f>IF($F20="","",AND(IF($B20="",TRUE,VLOOKUP($B20,Faits!$A:$B,2,FALSE)),IF($C20="",TRUE,VLOOKUP($C20,Faits!$A:$B,2,FALSE)),IF($D20="",TRUE,VLOOKUP($D20,Faits!$A:$B,2,FALSE)),IF($E20="",TRUE,VLOOKUP($E20,Faits!$A:$B,2,FALSE)),NOT(VLOOKUP($F20,Faits!$A:$B,2,FALSE))))</f>
        <v/>
      </c>
      <c r="H20" s="10">
        <f>IF($F20="","",VLOOKUP($F20,Faits!$A:$B,2,FALSE))</f>
        <v/>
      </c>
    </row>
    <row r="21">
      <c r="A21" s="2" t="n"/>
      <c r="B21" s="2" t="n"/>
      <c r="C21" s="2" t="n"/>
      <c r="D21" s="2" t="n"/>
      <c r="E21" s="2" t="n"/>
      <c r="F21" s="2" t="n"/>
      <c r="G21" s="10">
        <f>IF($F21="","",AND(IF($B21="",TRUE,VLOOKUP($B21,Faits!$A:$B,2,FALSE)),IF($C21="",TRUE,VLOOKUP($C21,Faits!$A:$B,2,FALSE)),IF($D21="",TRUE,VLOOKUP($D21,Faits!$A:$B,2,FALSE)),IF($E21="",TRUE,VLOOKUP($E21,Faits!$A:$B,2,FALSE)),NOT(VLOOKUP($F21,Faits!$A:$B,2,FALSE))))</f>
        <v/>
      </c>
      <c r="H21" s="10">
        <f>IF($F21="","",VLOOKUP($F21,Faits!$A:$B,2,FALSE))</f>
        <v/>
      </c>
    </row>
    <row r="22">
      <c r="A22" s="2" t="n"/>
      <c r="B22" s="2" t="n"/>
      <c r="C22" s="2" t="n"/>
      <c r="D22" s="2" t="n"/>
      <c r="E22" s="2" t="n"/>
      <c r="F22" s="2" t="n"/>
      <c r="G22" s="10">
        <f>IF($F22="","",AND(IF($B22="",TRUE,VLOOKUP($B22,Faits!$A:$B,2,FALSE)),IF($C22="",TRUE,VLOOKUP($C22,Faits!$A:$B,2,FALSE)),IF($D22="",TRUE,VLOOKUP($D22,Faits!$A:$B,2,FALSE)),IF($E22="",TRUE,VLOOKUP($E22,Faits!$A:$B,2,FALSE)),NOT(VLOOKUP($F22,Faits!$A:$B,2,FALSE))))</f>
        <v/>
      </c>
      <c r="H22" s="10">
        <f>IF($F22="","",VLOOKUP($F22,Faits!$A:$B,2,FALSE))</f>
        <v/>
      </c>
    </row>
  </sheetData>
  <mergeCells count="1">
    <mergeCell ref="A1:H1"/>
  </mergeCells>
  <conditionalFormatting sqref="A1:H1">
    <cfRule type="expression" priority="1" dxfId="0">
      <formula>ISNUMBER(SEARCH("Animal",$A$1))</formula>
    </cfRule>
    <cfRule type="expression" priority="2" dxfId="1">
      <formula>ISNUMBER(SEARCH("Continuez",$A$1))</formula>
    </cfRule>
    <cfRule type="expression" priority="3" dxfId="2">
      <formula>ISNUMBER(SEARCH("Bloqu",$A$1))</formula>
    </cfRule>
  </conditionalFormatting>
  <conditionalFormatting sqref="A3:H22">
    <cfRule type="expression" priority="4" dxfId="3">
      <formula>$G3=TRUE</formula>
    </cfRule>
  </conditionalFormatting>
  <dataValidations count="1">
    <dataValidation sqref="B3:F22" showDropDown="0" showInputMessage="0" showErrorMessage="0" allowBlank="1" type="list">
      <formula1>Faits!$A$2:$A$40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2026-06-24T15:16:29Z</dcterms:created>
  <dcterms:modified xsi:type="dcterms:W3CDTF">2026-06-24T15:16:29Z</dcterms:modified>
</cp:coreProperties>
</file>